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kevinbooth/Downloads/"/>
    </mc:Choice>
  </mc:AlternateContent>
  <xr:revisionPtr revIDLastSave="0" documentId="8_{2C91229A-E2E1-1248-B7AB-AA95C59EFFB1}" xr6:coauthVersionLast="47" xr6:coauthVersionMax="47" xr10:uidLastSave="{00000000-0000-0000-0000-000000000000}"/>
  <bookViews>
    <workbookView xWindow="0" yWindow="600" windowWidth="67200" windowHeight="35000" tabRatio="500" xr2:uid="{00000000-000D-0000-FFFF-FFFF00000000}"/>
  </bookViews>
  <sheets>
    <sheet name="Questionnaire" sheetId="1" r:id="rId1"/>
    <sheet name="Map" sheetId="2" state="hidden" r:id="rId2"/>
    <sheet name="Placement" sheetId="3" r:id="rId3"/>
    <sheet name="Sources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0" i="3" l="1"/>
  <c r="C9" i="3"/>
  <c r="C8" i="3"/>
  <c r="C7" i="3"/>
  <c r="F6" i="3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C10" i="3" s="1"/>
  <c r="C13" i="3" l="1"/>
  <c r="C6" i="3"/>
  <c r="C14" i="3" s="1"/>
  <c r="F7" i="3"/>
  <c r="F8" i="3"/>
  <c r="F9" i="3"/>
  <c r="C16" i="3" l="1"/>
  <c r="F19" i="3" l="1"/>
  <c r="B19" i="3"/>
  <c r="F18" i="3"/>
  <c r="F17" i="3"/>
  <c r="B17" i="3"/>
  <c r="F16" i="3"/>
  <c r="F15" i="3"/>
  <c r="F14" i="3"/>
</calcChain>
</file>

<file path=xl/sharedStrings.xml><?xml version="1.0" encoding="utf-8"?>
<sst xmlns="http://schemas.openxmlformats.org/spreadsheetml/2006/main" count="152" uniqueCount="98">
  <si>
    <t>Nimble Gravity AI-SDLC Maturity Assessment</t>
  </si>
  <si>
    <t>Answer every question Y or N based on what the client can evidence today, not what is planned. If it is true for some teams but not standard, answer N and note it. Then open Placement.</t>
  </si>
  <si>
    <t>Example: Q answered “Y” with note “seen in payments repo, CLAUDE.md v14” shows the expected format.</t>
  </si>
  <si>
    <t>TOOLS &amp; SETUP</t>
  </si>
  <si>
    <t>Has the organization issued sanctioned AI licenses and published an acceptable-use policy?</t>
  </si>
  <si>
    <t>Is there a list of approved AI tools that procurement actually enforces?</t>
  </si>
  <si>
    <t>Have personal or shadow AI accounts been migrated onto sanctioned tools?</t>
  </si>
  <si>
    <t>Do repositories contain versioned AI configuration, such as context files or prompts, alongside the code?</t>
  </si>
  <si>
    <t>Do new projects start from a standard AI-ready scaffold or template?</t>
  </si>
  <si>
    <t>Do AI tools have governed access to internal documentation, code, and decision history?</t>
  </si>
  <si>
    <t>Do agents run in sandboxed environments with scoped credentials?</t>
  </si>
  <si>
    <t>Can any team stand up an agent pipeline on their own, inside governed boundaries?</t>
  </si>
  <si>
    <t>WAYS OF WORKING</t>
  </si>
  <si>
    <t>Do individual engineers use AI assistants as part of their daily work?</t>
  </si>
  <si>
    <t>Do recognized AI champions exist, even informally?</t>
  </si>
  <si>
    <t>Are AI workflows documented with an owner, a trigger, and an expected output?</t>
  </si>
  <si>
    <t>Is there at least one AI workflow whose configuration lives in version control and has been reproduced end to end by a second person?</t>
  </si>
  <si>
    <t>Is there a regular forum where teams share AI workflows, including the failures?</t>
  </si>
  <si>
    <t>Does onboarding for new engineers include the team’s AI workflows?</t>
  </si>
  <si>
    <t>Do agent-eligible tickets carry a machine-readable definition of done?</t>
  </si>
  <si>
    <t>Do ticket states distinguish work queued for, or in progress with, an agent?</t>
  </si>
  <si>
    <t>Has at least one ticket been completed by an agent end to end, with humans approving only at defined checkpoints?</t>
  </si>
  <si>
    <t>Are specs first-class artifacts that agents work from directly?</t>
  </si>
  <si>
    <t>Is the backlog agent-ready by default, with human-only work as the exception?</t>
  </si>
  <si>
    <t>Do dedicated roles exist for spec engineering or agent operations?</t>
  </si>
  <si>
    <t>QUALITY, REVIEW &amp; SAFETY</t>
  </si>
  <si>
    <t>Are there written review standards specifically for AI-assisted changes?</t>
  </si>
  <si>
    <t>Is AI-generated content labeled with provenance in commits or pull requests?</t>
  </si>
  <si>
    <t>Are norms for change size written down, so AI-generated work lands in small batches?</t>
  </si>
  <si>
    <t>Does an automated verification harness, tests, static analysis, and policy checks, gate every merge?</t>
  </si>
  <si>
    <t>Are boundaries documented for what agents may read, write, and never touch?</t>
  </si>
  <si>
    <t>Have rollback procedures been exercised in practice, not just written?</t>
  </si>
  <si>
    <t>Are engineers trained to review checkpoint evidence rather than reading every generated line?</t>
  </si>
  <si>
    <t>Do eval suites run before any prompt or model change ships?</t>
  </si>
  <si>
    <t>Are model versions pinned, with upgrades passing evaluation before rollout?</t>
  </si>
  <si>
    <t>Is review effort triggered by signals rather than scheduled for everything?</t>
  </si>
  <si>
    <t>Do drift alerts trigger automated rollback or rerouting when quality regresses?</t>
  </si>
  <si>
    <t>DATA, TELEMETRY &amp; MEASUREMENT</t>
  </si>
  <si>
    <t>Can you say which teams get value from AI, beyond seat counts and logins?</t>
  </si>
  <si>
    <t>Is adoption tracked per workflow rather than per seat?</t>
  </si>
  <si>
    <t>Does every agent action leave an auditable trail?</t>
  </si>
  <si>
    <t>Are checkpoint pass rates and human intervention rates tracked?</t>
  </si>
  <si>
    <t>Is telemetry emitted by default on every project, without per-team setup?</t>
  </si>
  <si>
    <t>Do traces follow a standard schema, such as the OpenTelemetry GenAI conventions, portable across backends?</t>
  </si>
  <si>
    <t>Is a baseline captured before any AI workflow rolls out?</t>
  </si>
  <si>
    <t>Is telemetry on by default with baselines, and has at least one AI workflow been retired because the numbers said so?</t>
  </si>
  <si>
    <t>Are delivery metrics, such as the DORA keys including rework rate, correlated with AI usage?</t>
  </si>
  <si>
    <t>Is net ROI computed per workflow, with costs included?</t>
  </si>
  <si>
    <t>SPEND &amp; GOVERNANCE</t>
  </si>
  <si>
    <t>Are data-handling rules published for what may and may not enter a model?</t>
  </si>
  <si>
    <t>Is AI spend attributed per user, task, or workflow, tagged at request time rather than reconstructed later?</t>
  </si>
  <si>
    <t>Are spend limits enforced programmatically, not just budgeted?</t>
  </si>
  <si>
    <t>Are raw-usage numbers, tokens generated or prompts sent, explicitly banned from goals and dashboards?</t>
  </si>
  <si>
    <t>Is policy enforced as code inside the delivery pipeline itself?</t>
  </si>
  <si>
    <t>COMMERCIAL &amp; ORGANIZATION</t>
  </si>
  <si>
    <t>Are AI workflows promoted or retired against defined thresholds at a regular portfolio review?</t>
  </si>
  <si>
    <t>Has the SDLC been redesigned around agents, with AI-native terms appearing in pricing or contracts?</t>
  </si>
  <si>
    <t>Are outcome-based economics visible in how work is priced or sold?</t>
  </si>
  <si>
    <t>Row</t>
  </si>
  <si>
    <t>Dimension</t>
  </si>
  <si>
    <t>Level</t>
  </si>
  <si>
    <t>Gate</t>
  </si>
  <si>
    <t>Answer</t>
  </si>
  <si>
    <t>Governance &amp; Risk</t>
  </si>
  <si>
    <t>Platform &amp; Tooling</t>
  </si>
  <si>
    <t>People &amp; Skills</t>
  </si>
  <si>
    <t>Process &amp; Workflow</t>
  </si>
  <si>
    <t>Measurement</t>
  </si>
  <si>
    <t>Placement</t>
  </si>
  <si>
    <t>Nimble Gravity AI-SDLC Maturity Model</t>
  </si>
  <si>
    <t>Level evidence</t>
  </si>
  <si>
    <t>Evidence %</t>
  </si>
  <si>
    <t>Dimension profile (avg level of yes answers)</t>
  </si>
  <si>
    <t>Level 1: Ad Hoc</t>
  </si>
  <si>
    <t>Level 2: Defined</t>
  </si>
  <si>
    <t>Level 3: Managed Autonomy</t>
  </si>
  <si>
    <t>Level 4: Quantitatively Managed</t>
  </si>
  <si>
    <t>Level 5: Optimizing</t>
  </si>
  <si>
    <t>Gate ceiling</t>
  </si>
  <si>
    <t>The ladder</t>
  </si>
  <si>
    <t>Evidence ceiling (60% rule)</t>
  </si>
  <si>
    <t>PLACED LEVEL</t>
  </si>
  <si>
    <t>Level 0: No AI Use</t>
  </si>
  <si>
    <t>Placed level = the lower of the gate ceiling (highest consecutive gate evidenced) and the evidence ceiling (highest consecutive level with at least 60% of its questions answered yes).</t>
  </si>
  <si>
    <t>Research behind the question bank</t>
  </si>
  <si>
    <t>DORA AI Capabilities Model (Google, 2025, v2025.1)</t>
  </si>
  <si>
    <t>Seven capabilities that amplify AI: clear AI stance, healthy data ecosystems, AI-accessible internal data, strong version control, small batches, user-centric focus, quality internal platforms. dora.dev/ai/capabilities-model</t>
  </si>
  <si>
    <t>DORA ROI of AI-assisted Software Development (2026)</t>
  </si>
  <si>
    <t>Verification tax and instability tax; warns against adoption percentages and token counts as goals. dora.dev/research/publications</t>
  </si>
  <si>
    <t>DORA five-metric delivery model (2026)</t>
  </si>
  <si>
    <t>Four keys plus deployment rework rate as delivery ground truth. dora.dev</t>
  </si>
  <si>
    <t>DORA Insights on tokenmaxxing (Jun 2026)</t>
  </si>
  <si>
    <t>Rewarding raw token consumption is an anti-metric; informs the banned-metrics question. dora.dev/insights</t>
  </si>
  <si>
    <t>OpenTelemetry GenAI semantic conventions / OpenInference</t>
  </si>
  <si>
    <t>Standard span schema for prompts, tool calls, retrievals, agent steps, with token, cost, and eval attributes.</t>
  </si>
  <si>
    <t>Agent observability practice (2026 industry guides)</t>
  </si>
  <si>
    <t>Layered evaluation (unit, judge, production sampling); cost tagged at request creation; drift alerts, automated rollback, kill switches.</t>
  </si>
  <si>
    <t>Question wording is original; sources informed which behaviors indicate experience.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</si>
</sst>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charset val="1"/>
    </font>
    <font>
      <b/>
      <sz val="16"/>
      <color rgb="FF2E1A47"/>
      <name val="Arial"/>
      <charset val="1"/>
    </font>
    <font>
      <i/>
      <sz val="10"/>
      <color rgb="FF6E6280"/>
      <name val="Arial"/>
      <charset val="1"/>
    </font>
    <font>
      <i/>
      <sz val="9"/>
      <color rgb="FF6E6280"/>
      <name val="Arial"/>
      <charset val="1"/>
    </font>
    <font>
      <b/>
      <sz val="10"/>
      <color rgb="FFFFFFFF"/>
      <name val="Arial"/>
      <charset val="1"/>
    </font>
    <font>
      <sz val="9.5"/>
      <color rgb="FF6E6280"/>
      <name val="Arial"/>
      <charset val="1"/>
    </font>
    <font>
      <sz val="10"/>
      <name val="Arial"/>
      <charset val="1"/>
    </font>
    <font>
      <b/>
      <sz val="11"/>
      <color rgb="FF0000FF"/>
      <name val="Arial"/>
      <charset val="1"/>
    </font>
    <font>
      <sz val="9"/>
      <color rgb="FF0000FF"/>
      <name val="Arial"/>
      <charset val="1"/>
    </font>
    <font>
      <b/>
      <sz val="9.5"/>
      <color rgb="FFFFFFFF"/>
      <name val="Arial"/>
      <charset val="1"/>
    </font>
    <font>
      <b/>
      <sz val="10"/>
      <name val="Arial"/>
      <charset val="1"/>
    </font>
    <font>
      <b/>
      <sz val="10"/>
      <color rgb="FFC97E12"/>
      <name val="Arial"/>
      <charset val="1"/>
    </font>
    <font>
      <b/>
      <sz val="12"/>
      <color rgb="FF2E1A47"/>
      <name val="Arial"/>
      <charset val="1"/>
    </font>
    <font>
      <b/>
      <sz val="20"/>
      <color rgb="FFC97E12"/>
      <name val="Arial"/>
      <charset val="1"/>
    </font>
    <font>
      <i/>
      <sz val="10"/>
      <name val="Arial"/>
      <charset val="1"/>
    </font>
    <font>
      <b/>
      <sz val="13"/>
      <color rgb="FF2E1A47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2E1A47"/>
        <bgColor rgb="FF333300"/>
      </patternFill>
    </fill>
    <fill>
      <patternFill patternType="solid">
        <fgColor rgb="FFFFF2CC"/>
        <bgColor rgb="FFF9F9F9"/>
      </patternFill>
    </fill>
    <fill>
      <patternFill patternType="solid">
        <fgColor rgb="FFEFEAF9"/>
        <bgColor rgb="FFF9F9F9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2C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0" xfId="0" applyFont="1" applyAlignment="1">
      <alignment vertical="top" wrapText="1"/>
    </xf>
    <xf numFmtId="0" fontId="14" fillId="0" borderId="0" xfId="0" applyFont="1" applyAlignment="1">
      <alignment vertical="top" wrapText="1"/>
    </xf>
    <xf numFmtId="0" fontId="12" fillId="0" borderId="0" xfId="0" applyFont="1"/>
    <xf numFmtId="0" fontId="3" fillId="0" borderId="0" xfId="0" applyFont="1"/>
    <xf numFmtId="0" fontId="2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0" fillId="2" borderId="0" xfId="0" applyFill="1"/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3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vertical="top" wrapText="1"/>
    </xf>
    <xf numFmtId="0" fontId="9" fillId="2" borderId="0" xfId="0" applyFont="1" applyFill="1"/>
    <xf numFmtId="0" fontId="6" fillId="0" borderId="1" xfId="0" applyFont="1" applyBorder="1"/>
    <xf numFmtId="9" fontId="6" fillId="0" borderId="1" xfId="0" applyNumberFormat="1" applyFont="1" applyBorder="1"/>
    <xf numFmtId="164" fontId="6" fillId="0" borderId="1" xfId="0" applyNumberFormat="1" applyFont="1" applyBorder="1"/>
    <xf numFmtId="0" fontId="10" fillId="0" borderId="0" xfId="0" applyFont="1"/>
    <xf numFmtId="0" fontId="11" fillId="0" borderId="1" xfId="0" applyFont="1" applyBorder="1"/>
    <xf numFmtId="0" fontId="12" fillId="0" borderId="0" xfId="0" applyFont="1"/>
    <xf numFmtId="0" fontId="13" fillId="4" borderId="0" xfId="0" applyFont="1" applyFill="1" applyAlignment="1">
      <alignment horizontal="center"/>
    </xf>
    <xf numFmtId="0" fontId="15" fillId="0" borderId="0" xfId="0" applyFont="1"/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2C4"/>
      <rgbColor rgb="FF878787"/>
      <rgbColor rgb="FF9999FF"/>
      <rgbColor rgb="FF993366"/>
      <rgbColor rgb="FFFFF2CC"/>
      <rgbColor rgb="FFEFEAF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C97E12"/>
      <rgbColor rgb="FF6E6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1A4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Evidence by level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Placement!$C$5</c:f>
              <c:strCache>
                <c:ptCount val="1"/>
                <c:pt idx="0">
                  <c:v>Evidence %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Placement!$B$6:$B$10</c:f>
              <c:strCache>
                <c:ptCount val="5"/>
                <c:pt idx="0">
                  <c:v>Level 1: Ad Hoc</c:v>
                </c:pt>
                <c:pt idx="1">
                  <c:v>Level 2: Defined</c:v>
                </c:pt>
                <c:pt idx="2">
                  <c:v>Level 3: Managed Autonomy</c:v>
                </c:pt>
                <c:pt idx="3">
                  <c:v>Level 4: Quantitatively Managed</c:v>
                </c:pt>
                <c:pt idx="4">
                  <c:v>Level 5: Optimizing</c:v>
                </c:pt>
              </c:strCache>
            </c:strRef>
          </c:cat>
          <c:val>
            <c:numRef>
              <c:f>Placement!$C$6:$C$10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4B-D243-AE1B-1371D98966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607579"/>
        <c:axId val="29581148"/>
      </c:barChart>
      <c:catAx>
        <c:axId val="66075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9581148"/>
        <c:crosses val="autoZero"/>
        <c:auto val="1"/>
        <c:lblAlgn val="ctr"/>
        <c:lblOffset val="100"/>
        <c:noMultiLvlLbl val="0"/>
      </c:catAx>
      <c:valAx>
        <c:axId val="29581148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60757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19</xdr:row>
      <xdr:rowOff>10800</xdr:rowOff>
    </xdr:from>
    <xdr:to>
      <xdr:col>6</xdr:col>
      <xdr:colOff>474480</xdr:colOff>
      <xdr:row>31</xdr:row>
      <xdr:rowOff>150840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9"/>
  <sheetViews>
    <sheetView showGridLines="0" tabSelected="1" zoomScaleNormal="100" workbookViewId="0"/>
  </sheetViews>
  <sheetFormatPr baseColWidth="10" defaultColWidth="8.6640625" defaultRowHeight="15" x14ac:dyDescent="0.2"/>
  <cols>
    <col min="1" max="1" width="6" customWidth="1"/>
    <col min="2" max="2" width="92" customWidth="1"/>
    <col min="3" max="3" width="12" customWidth="1"/>
    <col min="4" max="4" width="42" customWidth="1"/>
  </cols>
  <sheetData>
    <row r="1" spans="1:4" ht="20" x14ac:dyDescent="0.2">
      <c r="A1" s="6" t="s">
        <v>0</v>
      </c>
    </row>
    <row r="2" spans="1:4" x14ac:dyDescent="0.2">
      <c r="A2" s="5" t="s">
        <v>1</v>
      </c>
      <c r="B2" s="5"/>
      <c r="C2" s="5"/>
      <c r="D2" s="5"/>
    </row>
    <row r="3" spans="1:4" x14ac:dyDescent="0.2">
      <c r="A3" s="4" t="s">
        <v>2</v>
      </c>
      <c r="B3" s="4"/>
      <c r="C3" s="4"/>
      <c r="D3" s="4"/>
    </row>
    <row r="5" spans="1:4" x14ac:dyDescent="0.2">
      <c r="A5" s="9" t="s">
        <v>3</v>
      </c>
      <c r="B5" s="10"/>
      <c r="C5" s="10"/>
      <c r="D5" s="10"/>
    </row>
    <row r="6" spans="1:4" ht="27.75" customHeight="1" x14ac:dyDescent="0.2">
      <c r="A6" s="11">
        <v>1</v>
      </c>
      <c r="B6" s="12" t="s">
        <v>4</v>
      </c>
      <c r="C6" s="13"/>
      <c r="D6" s="14"/>
    </row>
    <row r="7" spans="1:4" ht="27.75" customHeight="1" x14ac:dyDescent="0.2">
      <c r="A7" s="11">
        <v>2</v>
      </c>
      <c r="B7" s="12" t="s">
        <v>5</v>
      </c>
      <c r="C7" s="13"/>
      <c r="D7" s="14"/>
    </row>
    <row r="8" spans="1:4" ht="27.75" customHeight="1" x14ac:dyDescent="0.2">
      <c r="A8" s="11">
        <v>3</v>
      </c>
      <c r="B8" s="12" t="s">
        <v>6</v>
      </c>
      <c r="C8" s="13"/>
      <c r="D8" s="14"/>
    </row>
    <row r="9" spans="1:4" ht="27.75" customHeight="1" x14ac:dyDescent="0.2">
      <c r="A9" s="11">
        <v>4</v>
      </c>
      <c r="B9" s="12" t="s">
        <v>7</v>
      </c>
      <c r="C9" s="13"/>
      <c r="D9" s="14"/>
    </row>
    <row r="10" spans="1:4" ht="27.75" customHeight="1" x14ac:dyDescent="0.2">
      <c r="A10" s="11">
        <v>5</v>
      </c>
      <c r="B10" s="12" t="s">
        <v>8</v>
      </c>
      <c r="C10" s="13"/>
      <c r="D10" s="14"/>
    </row>
    <row r="11" spans="1:4" ht="27.75" customHeight="1" x14ac:dyDescent="0.2">
      <c r="A11" s="11">
        <v>6</v>
      </c>
      <c r="B11" s="12" t="s">
        <v>9</v>
      </c>
      <c r="C11" s="13"/>
      <c r="D11" s="14"/>
    </row>
    <row r="12" spans="1:4" ht="27.75" customHeight="1" x14ac:dyDescent="0.2">
      <c r="A12" s="11">
        <v>7</v>
      </c>
      <c r="B12" s="12" t="s">
        <v>10</v>
      </c>
      <c r="C12" s="13"/>
      <c r="D12" s="14"/>
    </row>
    <row r="13" spans="1:4" ht="27.75" customHeight="1" x14ac:dyDescent="0.2">
      <c r="A13" s="11">
        <v>8</v>
      </c>
      <c r="B13" s="12" t="s">
        <v>11</v>
      </c>
      <c r="C13" s="13"/>
      <c r="D13" s="14"/>
    </row>
    <row r="14" spans="1:4" x14ac:dyDescent="0.2">
      <c r="A14" s="9" t="s">
        <v>12</v>
      </c>
      <c r="B14" s="10"/>
      <c r="C14" s="10"/>
      <c r="D14" s="10"/>
    </row>
    <row r="15" spans="1:4" ht="27.75" customHeight="1" x14ac:dyDescent="0.2">
      <c r="A15" s="11">
        <v>9</v>
      </c>
      <c r="B15" s="12" t="s">
        <v>13</v>
      </c>
      <c r="C15" s="13"/>
      <c r="D15" s="14"/>
    </row>
    <row r="16" spans="1:4" ht="27.75" customHeight="1" x14ac:dyDescent="0.2">
      <c r="A16" s="11">
        <v>10</v>
      </c>
      <c r="B16" s="12" t="s">
        <v>14</v>
      </c>
      <c r="C16" s="13"/>
      <c r="D16" s="14"/>
    </row>
    <row r="17" spans="1:4" ht="27.75" customHeight="1" x14ac:dyDescent="0.2">
      <c r="A17" s="11">
        <v>11</v>
      </c>
      <c r="B17" s="12" t="s">
        <v>15</v>
      </c>
      <c r="C17" s="13"/>
      <c r="D17" s="14"/>
    </row>
    <row r="18" spans="1:4" ht="27.75" customHeight="1" x14ac:dyDescent="0.2">
      <c r="A18" s="11">
        <v>12</v>
      </c>
      <c r="B18" s="12" t="s">
        <v>16</v>
      </c>
      <c r="C18" s="13"/>
      <c r="D18" s="14"/>
    </row>
    <row r="19" spans="1:4" ht="27.75" customHeight="1" x14ac:dyDescent="0.2">
      <c r="A19" s="11">
        <v>13</v>
      </c>
      <c r="B19" s="12" t="s">
        <v>17</v>
      </c>
      <c r="C19" s="13"/>
      <c r="D19" s="14"/>
    </row>
    <row r="20" spans="1:4" ht="27.75" customHeight="1" x14ac:dyDescent="0.2">
      <c r="A20" s="11">
        <v>14</v>
      </c>
      <c r="B20" s="12" t="s">
        <v>18</v>
      </c>
      <c r="C20" s="13"/>
      <c r="D20" s="14"/>
    </row>
    <row r="21" spans="1:4" ht="27.75" customHeight="1" x14ac:dyDescent="0.2">
      <c r="A21" s="11">
        <v>15</v>
      </c>
      <c r="B21" s="12" t="s">
        <v>19</v>
      </c>
      <c r="C21" s="13"/>
      <c r="D21" s="14"/>
    </row>
    <row r="22" spans="1:4" ht="27.75" customHeight="1" x14ac:dyDescent="0.2">
      <c r="A22" s="11">
        <v>16</v>
      </c>
      <c r="B22" s="12" t="s">
        <v>20</v>
      </c>
      <c r="C22" s="13"/>
      <c r="D22" s="14"/>
    </row>
    <row r="23" spans="1:4" ht="27.75" customHeight="1" x14ac:dyDescent="0.2">
      <c r="A23" s="11">
        <v>17</v>
      </c>
      <c r="B23" s="12" t="s">
        <v>21</v>
      </c>
      <c r="C23" s="13"/>
      <c r="D23" s="14"/>
    </row>
    <row r="24" spans="1:4" ht="27.75" customHeight="1" x14ac:dyDescent="0.2">
      <c r="A24" s="11">
        <v>18</v>
      </c>
      <c r="B24" s="12" t="s">
        <v>22</v>
      </c>
      <c r="C24" s="13"/>
      <c r="D24" s="14"/>
    </row>
    <row r="25" spans="1:4" ht="27.75" customHeight="1" x14ac:dyDescent="0.2">
      <c r="A25" s="11">
        <v>19</v>
      </c>
      <c r="B25" s="12" t="s">
        <v>23</v>
      </c>
      <c r="C25" s="13"/>
      <c r="D25" s="14"/>
    </row>
    <row r="26" spans="1:4" ht="27.75" customHeight="1" x14ac:dyDescent="0.2">
      <c r="A26" s="11">
        <v>20</v>
      </c>
      <c r="B26" s="12" t="s">
        <v>24</v>
      </c>
      <c r="C26" s="13"/>
      <c r="D26" s="14"/>
    </row>
    <row r="27" spans="1:4" x14ac:dyDescent="0.2">
      <c r="A27" s="9" t="s">
        <v>25</v>
      </c>
      <c r="B27" s="10"/>
      <c r="C27" s="10"/>
      <c r="D27" s="10"/>
    </row>
    <row r="28" spans="1:4" ht="27.75" customHeight="1" x14ac:dyDescent="0.2">
      <c r="A28" s="11">
        <v>21</v>
      </c>
      <c r="B28" s="12" t="s">
        <v>26</v>
      </c>
      <c r="C28" s="13"/>
      <c r="D28" s="14"/>
    </row>
    <row r="29" spans="1:4" ht="27.75" customHeight="1" x14ac:dyDescent="0.2">
      <c r="A29" s="11">
        <v>22</v>
      </c>
      <c r="B29" s="12" t="s">
        <v>27</v>
      </c>
      <c r="C29" s="13"/>
      <c r="D29" s="14"/>
    </row>
    <row r="30" spans="1:4" ht="27.75" customHeight="1" x14ac:dyDescent="0.2">
      <c r="A30" s="11">
        <v>23</v>
      </c>
      <c r="B30" s="12" t="s">
        <v>28</v>
      </c>
      <c r="C30" s="13"/>
      <c r="D30" s="14"/>
    </row>
    <row r="31" spans="1:4" ht="27.75" customHeight="1" x14ac:dyDescent="0.2">
      <c r="A31" s="11">
        <v>24</v>
      </c>
      <c r="B31" s="12" t="s">
        <v>29</v>
      </c>
      <c r="C31" s="13"/>
      <c r="D31" s="14"/>
    </row>
    <row r="32" spans="1:4" ht="27.75" customHeight="1" x14ac:dyDescent="0.2">
      <c r="A32" s="11">
        <v>25</v>
      </c>
      <c r="B32" s="12" t="s">
        <v>30</v>
      </c>
      <c r="C32" s="13"/>
      <c r="D32" s="14"/>
    </row>
    <row r="33" spans="1:4" ht="27.75" customHeight="1" x14ac:dyDescent="0.2">
      <c r="A33" s="11">
        <v>26</v>
      </c>
      <c r="B33" s="12" t="s">
        <v>31</v>
      </c>
      <c r="C33" s="13"/>
      <c r="D33" s="14"/>
    </row>
    <row r="34" spans="1:4" ht="27.75" customHeight="1" x14ac:dyDescent="0.2">
      <c r="A34" s="11">
        <v>27</v>
      </c>
      <c r="B34" s="12" t="s">
        <v>32</v>
      </c>
      <c r="C34" s="13"/>
      <c r="D34" s="14"/>
    </row>
    <row r="35" spans="1:4" ht="27.75" customHeight="1" x14ac:dyDescent="0.2">
      <c r="A35" s="11">
        <v>28</v>
      </c>
      <c r="B35" s="12" t="s">
        <v>33</v>
      </c>
      <c r="C35" s="13"/>
      <c r="D35" s="14"/>
    </row>
    <row r="36" spans="1:4" ht="27.75" customHeight="1" x14ac:dyDescent="0.2">
      <c r="A36" s="11">
        <v>29</v>
      </c>
      <c r="B36" s="12" t="s">
        <v>34</v>
      </c>
      <c r="C36" s="13"/>
      <c r="D36" s="14"/>
    </row>
    <row r="37" spans="1:4" ht="27.75" customHeight="1" x14ac:dyDescent="0.2">
      <c r="A37" s="11">
        <v>30</v>
      </c>
      <c r="B37" s="12" t="s">
        <v>35</v>
      </c>
      <c r="C37" s="13"/>
      <c r="D37" s="14"/>
    </row>
    <row r="38" spans="1:4" ht="27.75" customHeight="1" x14ac:dyDescent="0.2">
      <c r="A38" s="11">
        <v>31</v>
      </c>
      <c r="B38" s="12" t="s">
        <v>36</v>
      </c>
      <c r="C38" s="13"/>
      <c r="D38" s="14"/>
    </row>
    <row r="39" spans="1:4" x14ac:dyDescent="0.2">
      <c r="A39" s="9" t="s">
        <v>37</v>
      </c>
      <c r="B39" s="10"/>
      <c r="C39" s="10"/>
      <c r="D39" s="10"/>
    </row>
    <row r="40" spans="1:4" ht="27.75" customHeight="1" x14ac:dyDescent="0.2">
      <c r="A40" s="11">
        <v>32</v>
      </c>
      <c r="B40" s="12" t="s">
        <v>38</v>
      </c>
      <c r="C40" s="13"/>
      <c r="D40" s="14"/>
    </row>
    <row r="41" spans="1:4" ht="27.75" customHeight="1" x14ac:dyDescent="0.2">
      <c r="A41" s="11">
        <v>33</v>
      </c>
      <c r="B41" s="12" t="s">
        <v>39</v>
      </c>
      <c r="C41" s="13"/>
      <c r="D41" s="14"/>
    </row>
    <row r="42" spans="1:4" ht="27.75" customHeight="1" x14ac:dyDescent="0.2">
      <c r="A42" s="11">
        <v>34</v>
      </c>
      <c r="B42" s="12" t="s">
        <v>40</v>
      </c>
      <c r="C42" s="13"/>
      <c r="D42" s="14"/>
    </row>
    <row r="43" spans="1:4" ht="27.75" customHeight="1" x14ac:dyDescent="0.2">
      <c r="A43" s="11">
        <v>35</v>
      </c>
      <c r="B43" s="12" t="s">
        <v>41</v>
      </c>
      <c r="C43" s="13"/>
      <c r="D43" s="14"/>
    </row>
    <row r="44" spans="1:4" ht="27.75" customHeight="1" x14ac:dyDescent="0.2">
      <c r="A44" s="11">
        <v>36</v>
      </c>
      <c r="B44" s="12" t="s">
        <v>42</v>
      </c>
      <c r="C44" s="13"/>
      <c r="D44" s="14"/>
    </row>
    <row r="45" spans="1:4" ht="27.75" customHeight="1" x14ac:dyDescent="0.2">
      <c r="A45" s="11">
        <v>37</v>
      </c>
      <c r="B45" s="12" t="s">
        <v>43</v>
      </c>
      <c r="C45" s="13"/>
      <c r="D45" s="14"/>
    </row>
    <row r="46" spans="1:4" ht="27.75" customHeight="1" x14ac:dyDescent="0.2">
      <c r="A46" s="11">
        <v>38</v>
      </c>
      <c r="B46" s="12" t="s">
        <v>44</v>
      </c>
      <c r="C46" s="13"/>
      <c r="D46" s="14"/>
    </row>
    <row r="47" spans="1:4" ht="27.75" customHeight="1" x14ac:dyDescent="0.2">
      <c r="A47" s="11">
        <v>39</v>
      </c>
      <c r="B47" s="12" t="s">
        <v>45</v>
      </c>
      <c r="C47" s="13"/>
      <c r="D47" s="14"/>
    </row>
    <row r="48" spans="1:4" ht="27.75" customHeight="1" x14ac:dyDescent="0.2">
      <c r="A48" s="11">
        <v>40</v>
      </c>
      <c r="B48" s="12" t="s">
        <v>46</v>
      </c>
      <c r="C48" s="13"/>
      <c r="D48" s="14"/>
    </row>
    <row r="49" spans="1:4" ht="27.75" customHeight="1" x14ac:dyDescent="0.2">
      <c r="A49" s="11">
        <v>41</v>
      </c>
      <c r="B49" s="12" t="s">
        <v>47</v>
      </c>
      <c r="C49" s="13"/>
      <c r="D49" s="14"/>
    </row>
    <row r="50" spans="1:4" x14ac:dyDescent="0.2">
      <c r="A50" s="9" t="s">
        <v>48</v>
      </c>
      <c r="B50" s="10"/>
      <c r="C50" s="10"/>
      <c r="D50" s="10"/>
    </row>
    <row r="51" spans="1:4" ht="27.75" customHeight="1" x14ac:dyDescent="0.2">
      <c r="A51" s="11">
        <v>42</v>
      </c>
      <c r="B51" s="12" t="s">
        <v>49</v>
      </c>
      <c r="C51" s="13"/>
      <c r="D51" s="14"/>
    </row>
    <row r="52" spans="1:4" ht="27.75" customHeight="1" x14ac:dyDescent="0.2">
      <c r="A52" s="11">
        <v>43</v>
      </c>
      <c r="B52" s="12" t="s">
        <v>50</v>
      </c>
      <c r="C52" s="13"/>
      <c r="D52" s="14"/>
    </row>
    <row r="53" spans="1:4" ht="27.75" customHeight="1" x14ac:dyDescent="0.2">
      <c r="A53" s="11">
        <v>44</v>
      </c>
      <c r="B53" s="12" t="s">
        <v>51</v>
      </c>
      <c r="C53" s="13"/>
      <c r="D53" s="14"/>
    </row>
    <row r="54" spans="1:4" ht="27.75" customHeight="1" x14ac:dyDescent="0.2">
      <c r="A54" s="11">
        <v>45</v>
      </c>
      <c r="B54" s="12" t="s">
        <v>52</v>
      </c>
      <c r="C54" s="13"/>
      <c r="D54" s="14"/>
    </row>
    <row r="55" spans="1:4" ht="27.75" customHeight="1" x14ac:dyDescent="0.2">
      <c r="A55" s="11">
        <v>46</v>
      </c>
      <c r="B55" s="12" t="s">
        <v>53</v>
      </c>
      <c r="C55" s="13"/>
      <c r="D55" s="14"/>
    </row>
    <row r="56" spans="1:4" x14ac:dyDescent="0.2">
      <c r="A56" s="9" t="s">
        <v>54</v>
      </c>
      <c r="B56" s="10"/>
      <c r="C56" s="10"/>
      <c r="D56" s="10"/>
    </row>
    <row r="57" spans="1:4" ht="27.75" customHeight="1" x14ac:dyDescent="0.2">
      <c r="A57" s="11">
        <v>47</v>
      </c>
      <c r="B57" s="12" t="s">
        <v>55</v>
      </c>
      <c r="C57" s="13"/>
      <c r="D57" s="14"/>
    </row>
    <row r="58" spans="1:4" ht="27.75" customHeight="1" x14ac:dyDescent="0.2">
      <c r="A58" s="11">
        <v>48</v>
      </c>
      <c r="B58" s="12" t="s">
        <v>56</v>
      </c>
      <c r="C58" s="13"/>
      <c r="D58" s="14"/>
    </row>
    <row r="59" spans="1:4" ht="27.75" customHeight="1" x14ac:dyDescent="0.2">
      <c r="A59" s="11">
        <v>49</v>
      </c>
      <c r="B59" s="12" t="s">
        <v>57</v>
      </c>
      <c r="C59" s="13"/>
      <c r="D59" s="14"/>
    </row>
  </sheetData>
  <mergeCells count="2">
    <mergeCell ref="A2:D2"/>
    <mergeCell ref="A3:D3"/>
  </mergeCells>
  <dataValidations count="1">
    <dataValidation type="list" allowBlank="1" sqref="C6:C13 C15:C26 C28:C38 C40:C49 C51:C55 C57:C59" xr:uid="{00000000-0002-0000-0000-000000000000}">
      <formula1>"Y,N"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0"/>
  <sheetViews>
    <sheetView zoomScaleNormal="100" workbookViewId="0"/>
  </sheetViews>
  <sheetFormatPr baseColWidth="10" defaultColWidth="8.6640625" defaultRowHeight="15" x14ac:dyDescent="0.2"/>
  <sheetData>
    <row r="1" spans="1:5" x14ac:dyDescent="0.2">
      <c r="A1" t="s">
        <v>58</v>
      </c>
      <c r="B1" t="s">
        <v>59</v>
      </c>
      <c r="C1" t="s">
        <v>60</v>
      </c>
      <c r="D1" t="s">
        <v>61</v>
      </c>
      <c r="E1" t="s">
        <v>62</v>
      </c>
    </row>
    <row r="2" spans="1:5" x14ac:dyDescent="0.2">
      <c r="A2">
        <v>6</v>
      </c>
      <c r="B2" t="s">
        <v>63</v>
      </c>
      <c r="C2">
        <v>1</v>
      </c>
      <c r="D2">
        <v>1</v>
      </c>
      <c r="E2">
        <f>Questionnaire!C6</f>
        <v>0</v>
      </c>
    </row>
    <row r="3" spans="1:5" x14ac:dyDescent="0.2">
      <c r="A3">
        <v>7</v>
      </c>
      <c r="B3" t="s">
        <v>63</v>
      </c>
      <c r="C3">
        <v>1</v>
      </c>
      <c r="D3">
        <v>0</v>
      </c>
      <c r="E3">
        <f>Questionnaire!C7</f>
        <v>0</v>
      </c>
    </row>
    <row r="4" spans="1:5" x14ac:dyDescent="0.2">
      <c r="A4">
        <v>8</v>
      </c>
      <c r="B4" t="s">
        <v>63</v>
      </c>
      <c r="C4">
        <v>1</v>
      </c>
      <c r="D4">
        <v>0</v>
      </c>
      <c r="E4">
        <f>Questionnaire!C8</f>
        <v>0</v>
      </c>
    </row>
    <row r="5" spans="1:5" x14ac:dyDescent="0.2">
      <c r="A5">
        <v>9</v>
      </c>
      <c r="B5" t="s">
        <v>64</v>
      </c>
      <c r="C5">
        <v>2</v>
      </c>
      <c r="D5">
        <v>0</v>
      </c>
      <c r="E5">
        <f>Questionnaire!C9</f>
        <v>0</v>
      </c>
    </row>
    <row r="6" spans="1:5" x14ac:dyDescent="0.2">
      <c r="A6">
        <v>10</v>
      </c>
      <c r="B6" t="s">
        <v>64</v>
      </c>
      <c r="C6">
        <v>2</v>
      </c>
      <c r="D6">
        <v>0</v>
      </c>
      <c r="E6">
        <f>Questionnaire!C10</f>
        <v>0</v>
      </c>
    </row>
    <row r="7" spans="1:5" x14ac:dyDescent="0.2">
      <c r="A7">
        <v>11</v>
      </c>
      <c r="B7" t="s">
        <v>64</v>
      </c>
      <c r="C7">
        <v>3</v>
      </c>
      <c r="D7">
        <v>0</v>
      </c>
      <c r="E7">
        <f>Questionnaire!C11</f>
        <v>0</v>
      </c>
    </row>
    <row r="8" spans="1:5" x14ac:dyDescent="0.2">
      <c r="A8">
        <v>12</v>
      </c>
      <c r="B8" t="s">
        <v>64</v>
      </c>
      <c r="C8">
        <v>3</v>
      </c>
      <c r="D8">
        <v>0</v>
      </c>
      <c r="E8">
        <f>Questionnaire!C12</f>
        <v>0</v>
      </c>
    </row>
    <row r="9" spans="1:5" x14ac:dyDescent="0.2">
      <c r="A9">
        <v>13</v>
      </c>
      <c r="B9" t="s">
        <v>64</v>
      </c>
      <c r="C9">
        <v>5</v>
      </c>
      <c r="D9">
        <v>0</v>
      </c>
      <c r="E9">
        <f>Questionnaire!C13</f>
        <v>0</v>
      </c>
    </row>
    <row r="10" spans="1:5" x14ac:dyDescent="0.2">
      <c r="A10">
        <v>15</v>
      </c>
      <c r="B10" t="s">
        <v>65</v>
      </c>
      <c r="C10">
        <v>1</v>
      </c>
      <c r="D10">
        <v>0</v>
      </c>
      <c r="E10">
        <f>Questionnaire!C15</f>
        <v>0</v>
      </c>
    </row>
    <row r="11" spans="1:5" x14ac:dyDescent="0.2">
      <c r="A11">
        <v>16</v>
      </c>
      <c r="B11" t="s">
        <v>65</v>
      </c>
      <c r="C11">
        <v>1</v>
      </c>
      <c r="D11">
        <v>0</v>
      </c>
      <c r="E11">
        <f>Questionnaire!C16</f>
        <v>0</v>
      </c>
    </row>
    <row r="12" spans="1:5" x14ac:dyDescent="0.2">
      <c r="A12">
        <v>17</v>
      </c>
      <c r="B12" t="s">
        <v>66</v>
      </c>
      <c r="C12">
        <v>2</v>
      </c>
      <c r="D12">
        <v>0</v>
      </c>
      <c r="E12">
        <f>Questionnaire!C17</f>
        <v>0</v>
      </c>
    </row>
    <row r="13" spans="1:5" x14ac:dyDescent="0.2">
      <c r="A13">
        <v>18</v>
      </c>
      <c r="B13" t="s">
        <v>66</v>
      </c>
      <c r="C13">
        <v>2</v>
      </c>
      <c r="D13">
        <v>1</v>
      </c>
      <c r="E13">
        <f>Questionnaire!C18</f>
        <v>0</v>
      </c>
    </row>
    <row r="14" spans="1:5" x14ac:dyDescent="0.2">
      <c r="A14">
        <v>19</v>
      </c>
      <c r="B14" t="s">
        <v>65</v>
      </c>
      <c r="C14">
        <v>2</v>
      </c>
      <c r="D14">
        <v>0</v>
      </c>
      <c r="E14">
        <f>Questionnaire!C19</f>
        <v>0</v>
      </c>
    </row>
    <row r="15" spans="1:5" x14ac:dyDescent="0.2">
      <c r="A15">
        <v>20</v>
      </c>
      <c r="B15" t="s">
        <v>65</v>
      </c>
      <c r="C15">
        <v>2</v>
      </c>
      <c r="D15">
        <v>0</v>
      </c>
      <c r="E15">
        <f>Questionnaire!C20</f>
        <v>0</v>
      </c>
    </row>
    <row r="16" spans="1:5" x14ac:dyDescent="0.2">
      <c r="A16">
        <v>21</v>
      </c>
      <c r="B16" t="s">
        <v>66</v>
      </c>
      <c r="C16">
        <v>3</v>
      </c>
      <c r="D16">
        <v>0</v>
      </c>
      <c r="E16">
        <f>Questionnaire!C21</f>
        <v>0</v>
      </c>
    </row>
    <row r="17" spans="1:5" x14ac:dyDescent="0.2">
      <c r="A17">
        <v>22</v>
      </c>
      <c r="B17" t="s">
        <v>66</v>
      </c>
      <c r="C17">
        <v>3</v>
      </c>
      <c r="D17">
        <v>0</v>
      </c>
      <c r="E17">
        <f>Questionnaire!C22</f>
        <v>0</v>
      </c>
    </row>
    <row r="18" spans="1:5" x14ac:dyDescent="0.2">
      <c r="A18">
        <v>23</v>
      </c>
      <c r="B18" t="s">
        <v>66</v>
      </c>
      <c r="C18">
        <v>3</v>
      </c>
      <c r="D18">
        <v>1</v>
      </c>
      <c r="E18">
        <f>Questionnaire!C23</f>
        <v>0</v>
      </c>
    </row>
    <row r="19" spans="1:5" x14ac:dyDescent="0.2">
      <c r="A19">
        <v>24</v>
      </c>
      <c r="B19" t="s">
        <v>66</v>
      </c>
      <c r="C19">
        <v>5</v>
      </c>
      <c r="D19">
        <v>0</v>
      </c>
      <c r="E19">
        <f>Questionnaire!C24</f>
        <v>0</v>
      </c>
    </row>
    <row r="20" spans="1:5" x14ac:dyDescent="0.2">
      <c r="A20">
        <v>25</v>
      </c>
      <c r="B20" t="s">
        <v>66</v>
      </c>
      <c r="C20">
        <v>5</v>
      </c>
      <c r="D20">
        <v>0</v>
      </c>
      <c r="E20">
        <f>Questionnaire!C25</f>
        <v>0</v>
      </c>
    </row>
    <row r="21" spans="1:5" x14ac:dyDescent="0.2">
      <c r="A21">
        <v>26</v>
      </c>
      <c r="B21" t="s">
        <v>65</v>
      </c>
      <c r="C21">
        <v>5</v>
      </c>
      <c r="D21">
        <v>0</v>
      </c>
      <c r="E21">
        <f>Questionnaire!C26</f>
        <v>0</v>
      </c>
    </row>
    <row r="22" spans="1:5" x14ac:dyDescent="0.2">
      <c r="A22">
        <v>28</v>
      </c>
      <c r="B22" t="s">
        <v>63</v>
      </c>
      <c r="C22">
        <v>2</v>
      </c>
      <c r="D22">
        <v>0</v>
      </c>
      <c r="E22">
        <f>Questionnaire!C28</f>
        <v>0</v>
      </c>
    </row>
    <row r="23" spans="1:5" x14ac:dyDescent="0.2">
      <c r="A23">
        <v>29</v>
      </c>
      <c r="B23" t="s">
        <v>63</v>
      </c>
      <c r="C23">
        <v>2</v>
      </c>
      <c r="D23">
        <v>0</v>
      </c>
      <c r="E23">
        <f>Questionnaire!C29</f>
        <v>0</v>
      </c>
    </row>
    <row r="24" spans="1:5" x14ac:dyDescent="0.2">
      <c r="A24">
        <v>30</v>
      </c>
      <c r="B24" t="s">
        <v>66</v>
      </c>
      <c r="C24">
        <v>2</v>
      </c>
      <c r="D24">
        <v>0</v>
      </c>
      <c r="E24">
        <f>Questionnaire!C30</f>
        <v>0</v>
      </c>
    </row>
    <row r="25" spans="1:5" x14ac:dyDescent="0.2">
      <c r="A25">
        <v>31</v>
      </c>
      <c r="B25" t="s">
        <v>64</v>
      </c>
      <c r="C25">
        <v>3</v>
      </c>
      <c r="D25">
        <v>0</v>
      </c>
      <c r="E25">
        <f>Questionnaire!C31</f>
        <v>0</v>
      </c>
    </row>
    <row r="26" spans="1:5" x14ac:dyDescent="0.2">
      <c r="A26">
        <v>32</v>
      </c>
      <c r="B26" t="s">
        <v>63</v>
      </c>
      <c r="C26">
        <v>3</v>
      </c>
      <c r="D26">
        <v>0</v>
      </c>
      <c r="E26">
        <f>Questionnaire!C32</f>
        <v>0</v>
      </c>
    </row>
    <row r="27" spans="1:5" x14ac:dyDescent="0.2">
      <c r="A27">
        <v>33</v>
      </c>
      <c r="B27" t="s">
        <v>63</v>
      </c>
      <c r="C27">
        <v>3</v>
      </c>
      <c r="D27">
        <v>0</v>
      </c>
      <c r="E27">
        <f>Questionnaire!C33</f>
        <v>0</v>
      </c>
    </row>
    <row r="28" spans="1:5" x14ac:dyDescent="0.2">
      <c r="A28">
        <v>34</v>
      </c>
      <c r="B28" t="s">
        <v>65</v>
      </c>
      <c r="C28">
        <v>3</v>
      </c>
      <c r="D28">
        <v>0</v>
      </c>
      <c r="E28">
        <f>Questionnaire!C34</f>
        <v>0</v>
      </c>
    </row>
    <row r="29" spans="1:5" x14ac:dyDescent="0.2">
      <c r="A29">
        <v>35</v>
      </c>
      <c r="B29" t="s">
        <v>67</v>
      </c>
      <c r="C29">
        <v>4</v>
      </c>
      <c r="D29">
        <v>0</v>
      </c>
      <c r="E29">
        <f>Questionnaire!C35</f>
        <v>0</v>
      </c>
    </row>
    <row r="30" spans="1:5" x14ac:dyDescent="0.2">
      <c r="A30">
        <v>36</v>
      </c>
      <c r="B30" t="s">
        <v>63</v>
      </c>
      <c r="C30">
        <v>4</v>
      </c>
      <c r="D30">
        <v>0</v>
      </c>
      <c r="E30">
        <f>Questionnaire!C36</f>
        <v>0</v>
      </c>
    </row>
    <row r="31" spans="1:5" x14ac:dyDescent="0.2">
      <c r="A31">
        <v>37</v>
      </c>
      <c r="B31" t="s">
        <v>66</v>
      </c>
      <c r="C31">
        <v>5</v>
      </c>
      <c r="D31">
        <v>0</v>
      </c>
      <c r="E31">
        <f>Questionnaire!C37</f>
        <v>0</v>
      </c>
    </row>
    <row r="32" spans="1:5" x14ac:dyDescent="0.2">
      <c r="A32">
        <v>38</v>
      </c>
      <c r="B32" t="s">
        <v>64</v>
      </c>
      <c r="C32">
        <v>5</v>
      </c>
      <c r="D32">
        <v>0</v>
      </c>
      <c r="E32">
        <f>Questionnaire!C38</f>
        <v>0</v>
      </c>
    </row>
    <row r="33" spans="1:5" x14ac:dyDescent="0.2">
      <c r="A33">
        <v>40</v>
      </c>
      <c r="B33" t="s">
        <v>67</v>
      </c>
      <c r="C33">
        <v>2</v>
      </c>
      <c r="D33">
        <v>0</v>
      </c>
      <c r="E33">
        <f>Questionnaire!C40</f>
        <v>0</v>
      </c>
    </row>
    <row r="34" spans="1:5" x14ac:dyDescent="0.2">
      <c r="A34">
        <v>41</v>
      </c>
      <c r="B34" t="s">
        <v>67</v>
      </c>
      <c r="C34">
        <v>2</v>
      </c>
      <c r="D34">
        <v>0</v>
      </c>
      <c r="E34">
        <f>Questionnaire!C41</f>
        <v>0</v>
      </c>
    </row>
    <row r="35" spans="1:5" x14ac:dyDescent="0.2">
      <c r="A35">
        <v>42</v>
      </c>
      <c r="B35" t="s">
        <v>64</v>
      </c>
      <c r="C35">
        <v>3</v>
      </c>
      <c r="D35">
        <v>0</v>
      </c>
      <c r="E35">
        <f>Questionnaire!C42</f>
        <v>0</v>
      </c>
    </row>
    <row r="36" spans="1:5" x14ac:dyDescent="0.2">
      <c r="A36">
        <v>43</v>
      </c>
      <c r="B36" t="s">
        <v>67</v>
      </c>
      <c r="C36">
        <v>3</v>
      </c>
      <c r="D36">
        <v>0</v>
      </c>
      <c r="E36">
        <f>Questionnaire!C43</f>
        <v>0</v>
      </c>
    </row>
    <row r="37" spans="1:5" x14ac:dyDescent="0.2">
      <c r="A37">
        <v>44</v>
      </c>
      <c r="B37" t="s">
        <v>64</v>
      </c>
      <c r="C37">
        <v>4</v>
      </c>
      <c r="D37">
        <v>0</v>
      </c>
      <c r="E37">
        <f>Questionnaire!C44</f>
        <v>0</v>
      </c>
    </row>
    <row r="38" spans="1:5" x14ac:dyDescent="0.2">
      <c r="A38">
        <v>45</v>
      </c>
      <c r="B38" t="s">
        <v>64</v>
      </c>
      <c r="C38">
        <v>4</v>
      </c>
      <c r="D38">
        <v>0</v>
      </c>
      <c r="E38">
        <f>Questionnaire!C45</f>
        <v>0</v>
      </c>
    </row>
    <row r="39" spans="1:5" x14ac:dyDescent="0.2">
      <c r="A39">
        <v>46</v>
      </c>
      <c r="B39" t="s">
        <v>67</v>
      </c>
      <c r="C39">
        <v>4</v>
      </c>
      <c r="D39">
        <v>0</v>
      </c>
      <c r="E39">
        <f>Questionnaire!C46</f>
        <v>0</v>
      </c>
    </row>
    <row r="40" spans="1:5" x14ac:dyDescent="0.2">
      <c r="A40">
        <v>47</v>
      </c>
      <c r="B40" t="s">
        <v>67</v>
      </c>
      <c r="C40">
        <v>4</v>
      </c>
      <c r="D40">
        <v>1</v>
      </c>
      <c r="E40">
        <f>Questionnaire!C47</f>
        <v>0</v>
      </c>
    </row>
    <row r="41" spans="1:5" x14ac:dyDescent="0.2">
      <c r="A41">
        <v>48</v>
      </c>
      <c r="B41" t="s">
        <v>67</v>
      </c>
      <c r="C41">
        <v>4</v>
      </c>
      <c r="D41">
        <v>0</v>
      </c>
      <c r="E41">
        <f>Questionnaire!C48</f>
        <v>0</v>
      </c>
    </row>
    <row r="42" spans="1:5" x14ac:dyDescent="0.2">
      <c r="A42">
        <v>49</v>
      </c>
      <c r="B42" t="s">
        <v>67</v>
      </c>
      <c r="C42">
        <v>4</v>
      </c>
      <c r="D42">
        <v>0</v>
      </c>
      <c r="E42">
        <f>Questionnaire!C49</f>
        <v>0</v>
      </c>
    </row>
    <row r="43" spans="1:5" x14ac:dyDescent="0.2">
      <c r="A43">
        <v>51</v>
      </c>
      <c r="B43" t="s">
        <v>63</v>
      </c>
      <c r="C43">
        <v>1</v>
      </c>
      <c r="D43">
        <v>0</v>
      </c>
      <c r="E43">
        <f>Questionnaire!C51</f>
        <v>0</v>
      </c>
    </row>
    <row r="44" spans="1:5" x14ac:dyDescent="0.2">
      <c r="A44">
        <v>52</v>
      </c>
      <c r="B44" t="s">
        <v>67</v>
      </c>
      <c r="C44">
        <v>4</v>
      </c>
      <c r="D44">
        <v>0</v>
      </c>
      <c r="E44">
        <f>Questionnaire!C52</f>
        <v>0</v>
      </c>
    </row>
    <row r="45" spans="1:5" x14ac:dyDescent="0.2">
      <c r="A45">
        <v>53</v>
      </c>
      <c r="B45" t="s">
        <v>63</v>
      </c>
      <c r="C45">
        <v>4</v>
      </c>
      <c r="D45">
        <v>0</v>
      </c>
      <c r="E45">
        <f>Questionnaire!C53</f>
        <v>0</v>
      </c>
    </row>
    <row r="46" spans="1:5" x14ac:dyDescent="0.2">
      <c r="A46">
        <v>54</v>
      </c>
      <c r="B46" t="s">
        <v>63</v>
      </c>
      <c r="C46">
        <v>4</v>
      </c>
      <c r="D46">
        <v>0</v>
      </c>
      <c r="E46">
        <f>Questionnaire!C54</f>
        <v>0</v>
      </c>
    </row>
    <row r="47" spans="1:5" x14ac:dyDescent="0.2">
      <c r="A47">
        <v>55</v>
      </c>
      <c r="B47" t="s">
        <v>63</v>
      </c>
      <c r="C47">
        <v>5</v>
      </c>
      <c r="D47">
        <v>0</v>
      </c>
      <c r="E47">
        <f>Questionnaire!C55</f>
        <v>0</v>
      </c>
    </row>
    <row r="48" spans="1:5" x14ac:dyDescent="0.2">
      <c r="A48">
        <v>57</v>
      </c>
      <c r="B48" t="s">
        <v>66</v>
      </c>
      <c r="C48">
        <v>4</v>
      </c>
      <c r="D48">
        <v>0</v>
      </c>
      <c r="E48">
        <f>Questionnaire!C57</f>
        <v>0</v>
      </c>
    </row>
    <row r="49" spans="1:5" x14ac:dyDescent="0.2">
      <c r="A49">
        <v>58</v>
      </c>
      <c r="B49" t="s">
        <v>66</v>
      </c>
      <c r="C49">
        <v>5</v>
      </c>
      <c r="D49">
        <v>1</v>
      </c>
      <c r="E49">
        <f>Questionnaire!C58</f>
        <v>0</v>
      </c>
    </row>
    <row r="50" spans="1:5" x14ac:dyDescent="0.2">
      <c r="A50">
        <v>59</v>
      </c>
      <c r="B50" t="s">
        <v>67</v>
      </c>
      <c r="C50">
        <v>5</v>
      </c>
      <c r="D50">
        <v>0</v>
      </c>
      <c r="E50">
        <f>Questionnaire!C59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24"/>
  <sheetViews>
    <sheetView showGridLines="0" zoomScaleNormal="100" workbookViewId="0"/>
  </sheetViews>
  <sheetFormatPr baseColWidth="10" defaultColWidth="8.6640625" defaultRowHeight="15" x14ac:dyDescent="0.2"/>
  <cols>
    <col min="1" max="1" width="3" customWidth="1"/>
    <col min="2" max="2" width="26" customWidth="1"/>
    <col min="3" max="3" width="13" customWidth="1"/>
    <col min="4" max="4" width="3" customWidth="1"/>
    <col min="5" max="5" width="22" customWidth="1"/>
    <col min="6" max="6" width="30" customWidth="1"/>
    <col min="7" max="7" width="16" customWidth="1"/>
    <col min="8" max="8" width="3" customWidth="1"/>
  </cols>
  <sheetData>
    <row r="2" spans="2:7" ht="20" x14ac:dyDescent="0.2">
      <c r="B2" s="6" t="s">
        <v>68</v>
      </c>
    </row>
    <row r="3" spans="2:7" x14ac:dyDescent="0.2">
      <c r="B3" s="7" t="s">
        <v>69</v>
      </c>
    </row>
    <row r="5" spans="2:7" x14ac:dyDescent="0.2">
      <c r="B5" s="15" t="s">
        <v>70</v>
      </c>
      <c r="C5" s="15" t="s">
        <v>71</v>
      </c>
      <c r="D5" s="10"/>
      <c r="E5" s="15" t="s">
        <v>72</v>
      </c>
      <c r="F5" s="10"/>
    </row>
    <row r="6" spans="2:7" x14ac:dyDescent="0.2">
      <c r="B6" s="16" t="s">
        <v>73</v>
      </c>
      <c r="C6" s="17">
        <f>SUMPRODUCT((Map!$C$2:$C$50=1)*(Map!$E$2:$E$50="Y"))/SUMPRODUCT(--(Map!$C$2:$C$50=1))</f>
        <v>0</v>
      </c>
      <c r="E6" s="16" t="s">
        <v>65</v>
      </c>
      <c r="F6" s="18">
        <f>SUMPRODUCT((Map!$B$2:$B$50="People &amp; Skills")*(Map!$E$2:$E$50="Y")*Map!$C$2:$C$50)/MAX(1,SUMPRODUCT((Map!$B$2:$B$50="People &amp; Skills")*(Map!$E$2:$E$50="Y")))</f>
        <v>0</v>
      </c>
    </row>
    <row r="7" spans="2:7" x14ac:dyDescent="0.2">
      <c r="B7" s="16" t="s">
        <v>74</v>
      </c>
      <c r="C7" s="17">
        <f>SUMPRODUCT((Map!$C$2:$C$50=2)*(Map!$E$2:$E$50="Y"))/SUMPRODUCT(--(Map!$C$2:$C$50=2))</f>
        <v>0</v>
      </c>
      <c r="E7" s="16" t="s">
        <v>66</v>
      </c>
      <c r="F7" s="18">
        <f>SUMPRODUCT((Map!$B$2:$B$50="Process &amp; Workflow")*(Map!$E$2:$E$50="Y")*Map!$C$2:$C$50)/MAX(1,SUMPRODUCT((Map!$B$2:$B$50="Process &amp; Workflow")*(Map!$E$2:$E$50="Y")))</f>
        <v>0</v>
      </c>
    </row>
    <row r="8" spans="2:7" x14ac:dyDescent="0.2">
      <c r="B8" s="16" t="s">
        <v>75</v>
      </c>
      <c r="C8" s="17">
        <f>SUMPRODUCT((Map!$C$2:$C$50=3)*(Map!$E$2:$E$50="Y"))/SUMPRODUCT(--(Map!$C$2:$C$50=3))</f>
        <v>0</v>
      </c>
      <c r="E8" s="16" t="s">
        <v>64</v>
      </c>
      <c r="F8" s="18">
        <f>SUMPRODUCT((Map!$B$2:$B$50="Platform &amp; Tooling")*(Map!$E$2:$E$50="Y")*Map!$C$2:$C$50)/MAX(1,SUMPRODUCT((Map!$B$2:$B$50="Platform &amp; Tooling")*(Map!$E$2:$E$50="Y")))</f>
        <v>0</v>
      </c>
    </row>
    <row r="9" spans="2:7" x14ac:dyDescent="0.2">
      <c r="B9" s="16" t="s">
        <v>76</v>
      </c>
      <c r="C9" s="17">
        <f>SUMPRODUCT((Map!$C$2:$C$50=4)*(Map!$E$2:$E$50="Y"))/SUMPRODUCT(--(Map!$C$2:$C$50=4))</f>
        <v>0</v>
      </c>
      <c r="E9" s="16" t="s">
        <v>63</v>
      </c>
      <c r="F9" s="18">
        <f>SUMPRODUCT((Map!$B$2:$B$50="Governance &amp; Risk")*(Map!$E$2:$E$50="Y")*Map!$C$2:$C$50)/MAX(1,SUMPRODUCT((Map!$B$2:$B$50="Governance &amp; Risk")*(Map!$E$2:$E$50="Y")))</f>
        <v>0</v>
      </c>
    </row>
    <row r="10" spans="2:7" x14ac:dyDescent="0.2">
      <c r="B10" s="16" t="s">
        <v>77</v>
      </c>
      <c r="C10" s="17">
        <f>SUMPRODUCT((Map!$C$2:$C$50=5)*(Map!$E$2:$E$50="Y"))/SUMPRODUCT(--(Map!$C$2:$C$50=5))</f>
        <v>0</v>
      </c>
      <c r="E10" s="16" t="s">
        <v>67</v>
      </c>
      <c r="F10" s="18">
        <f>SUMPRODUCT((Map!$B$2:$B$50="Measurement")*(Map!$E$2:$E$50="Y")*Map!$C$2:$C$50)/MAX(1,SUMPRODUCT((Map!$B$2:$B$50="Measurement")*(Map!$E$2:$E$50="Y")))</f>
        <v>0</v>
      </c>
    </row>
    <row r="13" spans="2:7" x14ac:dyDescent="0.2">
      <c r="B13" s="19" t="s">
        <v>78</v>
      </c>
      <c r="C13" s="19">
        <f>IF(SUMPRODUCT((Map!$C$2:$C$50=1)*(Map!$D$2:$D$50=1)*(Map!$E$2:$E$50="Y"))=1,1+IF(SUMPRODUCT((Map!$C$2:$C$50=2)*(Map!$D$2:$D$50=1)*(Map!$E$2:$E$50="Y"))=1,1+IF(SUMPRODUCT((Map!$C$2:$C$50=3)*(Map!$D$2:$D$50=1)*(Map!$E$2:$E$50="Y"))=1,1+IF(SUMPRODUCT((Map!$C$2:$C$50=4)*(Map!$D$2:$D$50=1)*(Map!$E$2:$E$50="Y"))=1,1+IF(SUMPRODUCT((Map!$C$2:$C$50=5)*(Map!$D$2:$D$50=1)*(Map!$E$2:$E$50="Y"))=1,1,0),0),0),0),0)</f>
        <v>0</v>
      </c>
      <c r="E13" s="15" t="s">
        <v>79</v>
      </c>
      <c r="F13" s="10"/>
      <c r="G13" s="10"/>
    </row>
    <row r="14" spans="2:7" x14ac:dyDescent="0.2">
      <c r="B14" s="19" t="s">
        <v>80</v>
      </c>
      <c r="C14" s="19">
        <f>IF(C6&gt;=0.6,1+IF(C7&gt;=0.6,1+IF(C8&gt;=0.6,1+IF(C9&gt;=0.6,1+IF(C10&gt;=0.6,1,0),0),0),0),0)</f>
        <v>0</v>
      </c>
      <c r="E14" s="16" t="s">
        <v>77</v>
      </c>
      <c r="F14" s="20" t="str">
        <f>IF($C$16=5,"◀ YOU ARE HERE","")</f>
        <v/>
      </c>
    </row>
    <row r="15" spans="2:7" x14ac:dyDescent="0.2">
      <c r="E15" s="16" t="s">
        <v>76</v>
      </c>
      <c r="F15" s="20" t="str">
        <f>IF($C$16=4,"◀ YOU ARE HERE","")</f>
        <v/>
      </c>
    </row>
    <row r="16" spans="2:7" ht="25" x14ac:dyDescent="0.25">
      <c r="B16" s="21" t="s">
        <v>81</v>
      </c>
      <c r="C16" s="22">
        <f>MIN(C13,C14)</f>
        <v>0</v>
      </c>
      <c r="E16" s="16" t="s">
        <v>75</v>
      </c>
      <c r="F16" s="20" t="str">
        <f>IF($C$16=3,"◀ YOU ARE HERE","")</f>
        <v/>
      </c>
    </row>
    <row r="17" spans="2:7" ht="16" x14ac:dyDescent="0.2">
      <c r="B17" s="3" t="str">
        <f>INDEX({"No AI Use";"Ad Hoc";"Defined";"Managed Autonomy";"Quantitatively Managed";"Optimizing"},C16+1)</f>
        <v>No AI Use</v>
      </c>
      <c r="C17" s="3"/>
      <c r="E17" s="16" t="s">
        <v>74</v>
      </c>
      <c r="F17" s="20" t="str">
        <f>IF($C$16=2,"◀ YOU ARE HERE","")</f>
        <v/>
      </c>
    </row>
    <row r="18" spans="2:7" x14ac:dyDescent="0.2">
      <c r="E18" s="16" t="s">
        <v>73</v>
      </c>
      <c r="F18" s="20" t="str">
        <f>IF($C$16=1,"◀ YOU ARE HERE","")</f>
        <v/>
      </c>
    </row>
    <row r="19" spans="2:7" x14ac:dyDescent="0.2">
      <c r="B19" s="2" t="str">
        <f>IF(C16=5,"Diagnosis: operating at the top of the model. The work is holding it.",IF(C13&lt;C14,"Diagnosis: practices outrun the gates. Evidence of higher-level behavior exists ("&amp;SUMPRODUCT((Map!$C$2:$C$50&gt;C16)*(Map!$E$2:$E$50="Y"))&amp;" yes answers above the placed level), but gate "&amp;C13+1&amp;" has not happened. Close that gate.",IF(SUMPRODUCT((Map!$C$2:$C$50&gt;C16)*(Map!$E$2:$E$50="Y"))&gt;=4,"Diagnosis: pockets of higher-level practice exist ("&amp;SUMPRODUCT((Map!$C$2:$C$50&gt;C16)*(Map!$E$2:$E$50="Y"))&amp;" yes answers above the placed level). Spread and standardize before reaching further.","Diagnosis: balanced profile. The path forward is the exit gate of the current level.")))</f>
        <v>Diagnosis: balanced profile. The path forward is the exit gate of the current level.</v>
      </c>
      <c r="C19" s="2"/>
      <c r="E19" s="16" t="s">
        <v>82</v>
      </c>
      <c r="F19" s="20" t="str">
        <f>IF($C$16=0,"◀ YOU ARE HERE","")</f>
        <v>◀ YOU ARE HERE</v>
      </c>
    </row>
    <row r="20" spans="2:7" x14ac:dyDescent="0.2">
      <c r="B20" s="2"/>
      <c r="C20" s="2"/>
    </row>
    <row r="21" spans="2:7" x14ac:dyDescent="0.2">
      <c r="B21" s="2"/>
      <c r="C21" s="2"/>
    </row>
    <row r="22" spans="2:7" x14ac:dyDescent="0.2">
      <c r="B22" s="2"/>
      <c r="C22" s="2"/>
    </row>
    <row r="24" spans="2:7" ht="22.25" customHeight="1" x14ac:dyDescent="0.2">
      <c r="B24" s="1" t="s">
        <v>83</v>
      </c>
      <c r="C24" s="1"/>
      <c r="D24" s="1"/>
      <c r="E24" s="1"/>
      <c r="F24" s="1"/>
      <c r="G24" s="1"/>
    </row>
  </sheetData>
  <mergeCells count="3">
    <mergeCell ref="B17:C17"/>
    <mergeCell ref="B19:C22"/>
    <mergeCell ref="B24:G2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showGridLines="0" zoomScaleNormal="100" workbookViewId="0"/>
  </sheetViews>
  <sheetFormatPr baseColWidth="10" defaultColWidth="8.6640625" defaultRowHeight="15" x14ac:dyDescent="0.2"/>
  <cols>
    <col min="1" max="1" width="46" customWidth="1"/>
    <col min="2" max="2" width="86" customWidth="1"/>
  </cols>
  <sheetData>
    <row r="1" spans="1:2" ht="17" x14ac:dyDescent="0.2">
      <c r="A1" s="23" t="s">
        <v>84</v>
      </c>
    </row>
    <row r="3" spans="1:2" ht="30" customHeight="1" x14ac:dyDescent="0.2">
      <c r="A3" s="19" t="s">
        <v>85</v>
      </c>
      <c r="B3" s="24" t="s">
        <v>86</v>
      </c>
    </row>
    <row r="4" spans="1:2" ht="30" customHeight="1" x14ac:dyDescent="0.2">
      <c r="A4" s="19" t="s">
        <v>87</v>
      </c>
      <c r="B4" s="24" t="s">
        <v>88</v>
      </c>
    </row>
    <row r="5" spans="1:2" ht="30" customHeight="1" x14ac:dyDescent="0.2">
      <c r="A5" s="19" t="s">
        <v>89</v>
      </c>
      <c r="B5" s="24" t="s">
        <v>90</v>
      </c>
    </row>
    <row r="6" spans="1:2" ht="30" customHeight="1" x14ac:dyDescent="0.2">
      <c r="A6" s="19" t="s">
        <v>91</v>
      </c>
      <c r="B6" s="24" t="s">
        <v>92</v>
      </c>
    </row>
    <row r="7" spans="1:2" ht="30" customHeight="1" x14ac:dyDescent="0.2">
      <c r="A7" s="19" t="s">
        <v>93</v>
      </c>
      <c r="B7" s="24" t="s">
        <v>94</v>
      </c>
    </row>
    <row r="8" spans="1:2" ht="30" customHeight="1" x14ac:dyDescent="0.2">
      <c r="A8" s="19" t="s">
        <v>95</v>
      </c>
      <c r="B8" s="24" t="s">
        <v>96</v>
      </c>
    </row>
    <row r="10" spans="1:2" x14ac:dyDescent="0.2">
      <c r="A10" s="8" t="s">
        <v>97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Questionnaire</vt:lpstr>
      <vt:lpstr>Map</vt:lpstr>
      <vt:lpstr>Placement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Kevin Booth</cp:lastModifiedBy>
  <cp:revision>1</cp:revision>
  <dcterms:created xsi:type="dcterms:W3CDTF">2026-08-03T23:01:21Z</dcterms:created>
  <dcterms:modified xsi:type="dcterms:W3CDTF">2026-08-03T23:18:12Z</dcterms:modified>
  <dc:language>en-US</dc:language>
</cp:coreProperties>
</file>